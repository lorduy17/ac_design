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UARIO\Desktop\Universidad\Aircraft Design 1\"/>
    </mc:Choice>
  </mc:AlternateContent>
  <xr:revisionPtr revIDLastSave="0" documentId="13_ncr:1_{EC98C2F2-7B13-47AA-8772-2EB1D83078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P-1" sheetId="1" r:id="rId1"/>
    <sheet name="CJ-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 a="1"/>
  <c r="P2" i="1" s="1"/>
  <c r="N3" i="1"/>
  <c r="N4" i="1"/>
  <c r="N5" i="1"/>
  <c r="N6" i="1"/>
  <c r="N7" i="1"/>
  <c r="N2" i="1"/>
  <c r="O3" i="1"/>
  <c r="O4" i="1"/>
  <c r="O5" i="1"/>
  <c r="O6" i="1"/>
  <c r="O7" i="1"/>
  <c r="O2" i="1"/>
  <c r="J12" i="1"/>
  <c r="J11" i="1"/>
  <c r="J10" i="1"/>
  <c r="M7" i="1"/>
  <c r="M6" i="1"/>
  <c r="M5" i="1"/>
  <c r="M4" i="1"/>
  <c r="M3" i="1"/>
  <c r="M2" i="1"/>
  <c r="I23" i="2"/>
  <c r="N18" i="2"/>
  <c r="D14" i="2"/>
  <c r="H24" i="2"/>
  <c r="I24" i="2" s="1"/>
  <c r="I22" i="2"/>
  <c r="O15" i="2"/>
  <c r="O14" i="2"/>
  <c r="L18" i="2"/>
  <c r="J18" i="2"/>
  <c r="G18" i="2"/>
  <c r="C18" i="2"/>
  <c r="D18" i="2" s="1"/>
  <c r="L17" i="2"/>
  <c r="C17" i="2" s="1"/>
  <c r="J17" i="2"/>
  <c r="G17" i="2"/>
  <c r="L16" i="2"/>
  <c r="C16" i="2" s="1"/>
  <c r="D16" i="2" s="1"/>
  <c r="J16" i="2"/>
  <c r="G16" i="2"/>
  <c r="L15" i="2"/>
  <c r="C15" i="2" s="1"/>
  <c r="D15" i="2" s="1"/>
  <c r="G15" i="2"/>
  <c r="J15" i="2" s="1"/>
  <c r="L14" i="2"/>
  <c r="C14" i="2" s="1"/>
  <c r="J14" i="2"/>
  <c r="G14" i="2"/>
  <c r="J7" i="1"/>
  <c r="K7" i="1" s="1"/>
  <c r="H7" i="1" s="1"/>
  <c r="L7" i="1" s="1"/>
  <c r="C7" i="1"/>
  <c r="B7" i="1"/>
  <c r="J6" i="1"/>
  <c r="K6" i="1" s="1"/>
  <c r="C6" i="1"/>
  <c r="B6" i="1"/>
  <c r="J5" i="1"/>
  <c r="K5" i="1" s="1"/>
  <c r="C5" i="1"/>
  <c r="B5" i="1"/>
  <c r="K4" i="1"/>
  <c r="J4" i="1"/>
  <c r="C4" i="1"/>
  <c r="B4" i="1"/>
  <c r="H4" i="1" s="1"/>
  <c r="L4" i="1" s="1"/>
  <c r="J3" i="1"/>
  <c r="K3" i="1" s="1"/>
  <c r="H3" i="1" s="1"/>
  <c r="L3" i="1" s="1"/>
  <c r="C3" i="1"/>
  <c r="B3" i="1"/>
  <c r="J2" i="1"/>
  <c r="K2" i="1" s="1"/>
  <c r="C2" i="1"/>
  <c r="B2" i="1"/>
  <c r="D17" i="2" l="1"/>
  <c r="B17" i="2" s="1"/>
  <c r="L6" i="1"/>
  <c r="B14" i="2"/>
  <c r="B18" i="2"/>
  <c r="B16" i="2"/>
  <c r="H2" i="1"/>
  <c r="L2" i="1" s="1"/>
  <c r="H6" i="1"/>
  <c r="B15" i="2"/>
  <c r="H5" i="1"/>
  <c r="L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<sst xmlns="http://schemas.openxmlformats.org/spreadsheetml/2006/main" count="70" uniqueCount="46">
  <si>
    <t>V_inf [ft/s]</t>
  </si>
  <si>
    <t>CL</t>
  </si>
  <si>
    <t>q</t>
  </si>
  <si>
    <t>rho</t>
  </si>
  <si>
    <t>W</t>
  </si>
  <si>
    <t>S</t>
  </si>
  <si>
    <t>Cd0</t>
  </si>
  <si>
    <t>cd</t>
  </si>
  <si>
    <t>e</t>
  </si>
  <si>
    <t>b^2</t>
  </si>
  <si>
    <t>AR</t>
  </si>
  <si>
    <t>T</t>
  </si>
  <si>
    <t>b</t>
  </si>
  <si>
    <t>ft</t>
  </si>
  <si>
    <t>ft^2</t>
  </si>
  <si>
    <t>lb</t>
  </si>
  <si>
    <t>Fuel Capacity</t>
  </si>
  <si>
    <t>65 gal of av</t>
  </si>
  <si>
    <t>POWER</t>
  </si>
  <si>
    <t>HP@SEA LEVEL</t>
  </si>
  <si>
    <t>SFC</t>
  </si>
  <si>
    <t>lb/hour</t>
  </si>
  <si>
    <t>CD0</t>
  </si>
  <si>
    <t>n_prop</t>
  </si>
  <si>
    <t>1119 GAL KEROSENO</t>
  </si>
  <si>
    <t>lbf @ sea leve</t>
  </si>
  <si>
    <t>x2</t>
  </si>
  <si>
    <t>lbf/hour</t>
  </si>
  <si>
    <t xml:space="preserve">V_inf [ft/s] </t>
  </si>
  <si>
    <t>CD</t>
  </si>
  <si>
    <t>EMPUJE MAX DISPONIBLE</t>
  </si>
  <si>
    <t>=</t>
  </si>
  <si>
    <t xml:space="preserve">linea </t>
  </si>
  <si>
    <t>y</t>
  </si>
  <si>
    <t>x</t>
  </si>
  <si>
    <t>w/S</t>
  </si>
  <si>
    <t>t/W</t>
  </si>
  <si>
    <t>Vmax</t>
  </si>
  <si>
    <t>V60%</t>
  </si>
  <si>
    <t>Pr</t>
  </si>
  <si>
    <t>cl/cd max</t>
  </si>
  <si>
    <t>cl**0.5/cd max</t>
  </si>
  <si>
    <t>cl**(3/2)/cd max</t>
  </si>
  <si>
    <t>CL^0.5/cd</t>
  </si>
  <si>
    <t>cl**(3/2)/cd</t>
  </si>
  <si>
    <t>cl/cd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</si>
</sst>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HP</a:t>
            </a:r>
            <a:r>
              <a:rPr lang="es-CO" baseline="0"/>
              <a:t> vs V_inf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'CP-1'!$A$2:$A$7</c:f>
              <c:numCache>
                <c:formatCode>General</c:formatCode>
                <c:ptCount val="6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</c:numCache>
            </c:numRef>
          </c:xVal>
          <c:yVal>
            <c:numRef>
              <c:f>'CP-1'!$M$2:$M$7</c:f>
              <c:numCache>
                <c:formatCode>General</c:formatCode>
                <c:ptCount val="6"/>
                <c:pt idx="0">
                  <c:v>55.804084577192349</c:v>
                </c:pt>
                <c:pt idx="1">
                  <c:v>65.206754301461572</c:v>
                </c:pt>
                <c:pt idx="2">
                  <c:v>105.45166728859617</c:v>
                </c:pt>
                <c:pt idx="3">
                  <c:v>179.74737258087691</c:v>
                </c:pt>
                <c:pt idx="4">
                  <c:v>294.33336152573082</c:v>
                </c:pt>
                <c:pt idx="5">
                  <c:v>456.3151089863407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45-4EE6-987F-1B78E1C64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1631"/>
        <c:axId val="8202111"/>
      </c:scatterChart>
      <c:valAx>
        <c:axId val="8201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02111"/>
        <c:crosses val="autoZero"/>
        <c:crossBetween val="midCat"/>
      </c:valAx>
      <c:valAx>
        <c:axId val="820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01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Tr vs V_inf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'CP-1'!$A$2:$A$7</c:f>
              <c:numCache>
                <c:formatCode>General</c:formatCode>
                <c:ptCount val="6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</c:numCache>
            </c:numRef>
          </c:xVal>
          <c:yVal>
            <c:numRef>
              <c:f>'CP-1'!$L$2:$L$7</c:f>
              <c:numCache>
                <c:formatCode>General</c:formatCode>
                <c:ptCount val="6"/>
                <c:pt idx="0">
                  <c:v>279.02042288596175</c:v>
                </c:pt>
                <c:pt idx="1">
                  <c:v>217.35584767153856</c:v>
                </c:pt>
                <c:pt idx="2">
                  <c:v>263.62916822149043</c:v>
                </c:pt>
                <c:pt idx="3">
                  <c:v>359.49474516175383</c:v>
                </c:pt>
                <c:pt idx="4">
                  <c:v>490.55560254288469</c:v>
                </c:pt>
                <c:pt idx="5">
                  <c:v>651.87872712334388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03-43C7-8969-94EDA5657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631"/>
        <c:axId val="8195871"/>
      </c:scatterChart>
      <c:valAx>
        <c:axId val="818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95871"/>
        <c:crosses val="autoZero"/>
        <c:crossBetween val="midCat"/>
      </c:valAx>
      <c:valAx>
        <c:axId val="819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8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eficiencias</a:t>
            </a:r>
            <a:r>
              <a:rPr lang="es-CO" baseline="0"/>
              <a:t> aero vs vel</a:t>
            </a:r>
          </a:p>
        </c:rich>
      </c:tx>
      <c:layout>
        <c:manualLayout>
          <c:xMode val="edge"/>
          <c:yMode val="edge"/>
          <c:x val="0.3757678566782679"/>
          <c:y val="5.21603027612476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cl/cd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'CP-1'!$A$2:$A$7</c:f>
              <c:numCache>
                <c:formatCode>General</c:formatCode>
                <c:ptCount val="6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</c:numCache>
            </c:numRef>
          </c:xVal>
          <c:yVal>
            <c:numRef>
              <c:f>'CP-1'!$P$2:$P$7</c:f>
              <c:numCache>
                <c:formatCode>General</c:formatCode>
                <c:ptCount val="6"/>
                <c:pt idx="0">
                  <c:v>10.572702777408134</c:v>
                </c:pt>
                <c:pt idx="1">
                  <c:v>13.572213637693102</c:v>
                </c:pt>
                <c:pt idx="2">
                  <c:v>11.189960579481594</c:v>
                </c:pt>
                <c:pt idx="3">
                  <c:v>8.2059613936016067</c:v>
                </c:pt>
                <c:pt idx="4">
                  <c:v>6.0135894579699745</c:v>
                </c:pt>
                <c:pt idx="5">
                  <c:v>4.5253816043636927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3F-456E-AB47-1289CF04C3DD}"/>
            </c:ext>
          </c:extLst>
        </c:ser>
        <c:ser>
          <c:idx val="1"/>
          <c:order val="1"/>
          <c:tx>
            <c:v>cl**0.5/cd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'CP-1'!$A$2:$A$7</c:f>
              <c:numCache>
                <c:formatCode>General</c:formatCode>
                <c:ptCount val="6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</c:numCache>
            </c:numRef>
          </c:xVal>
          <c:yVal>
            <c:numRef>
              <c:f>'CP-1'!$N$2:$N$7</c:f>
              <c:numCache>
                <c:formatCode>General</c:formatCode>
                <c:ptCount val="6"/>
                <c:pt idx="0">
                  <c:v>8.8521595413967464</c:v>
                </c:pt>
                <c:pt idx="1">
                  <c:v>17.045319864780048</c:v>
                </c:pt>
                <c:pt idx="2">
                  <c:v>18.737936438197039</c:v>
                </c:pt>
                <c:pt idx="3">
                  <c:v>17.176421435473141</c:v>
                </c:pt>
                <c:pt idx="4">
                  <c:v>15.104913403645808</c:v>
                </c:pt>
                <c:pt idx="5">
                  <c:v>13.261311016512314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3F-456E-AB47-1289CF04C3DD}"/>
            </c:ext>
          </c:extLst>
        </c:ser>
        <c:ser>
          <c:idx val="2"/>
          <c:order val="2"/>
          <c:tx>
            <c:v>cl**(3/2)/Cd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'CP-1'!$A$2:$A$7</c:f>
              <c:numCache>
                <c:formatCode>General</c:formatCode>
                <c:ptCount val="6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</c:numCache>
            </c:numRef>
          </c:xVal>
          <c:yVal>
            <c:numRef>
              <c:f>'CP-1'!$O$2:$O$7</c:f>
              <c:numCache>
                <c:formatCode>General</c:formatCode>
                <c:ptCount val="6"/>
                <c:pt idx="0">
                  <c:v>12.627658086896165</c:v>
                </c:pt>
                <c:pt idx="1">
                  <c:v>10.806777724822684</c:v>
                </c:pt>
                <c:pt idx="2">
                  <c:v>6.6824443653839323</c:v>
                </c:pt>
                <c:pt idx="3">
                  <c:v>3.920362727838782</c:v>
                </c:pt>
                <c:pt idx="4">
                  <c:v>2.3941387284139632</c:v>
                </c:pt>
                <c:pt idx="5">
                  <c:v>1.5442725564323021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3F-456E-AB47-1289CF04C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044671"/>
        <c:axId val="1695042271"/>
      </c:scatterChart>
      <c:valAx>
        <c:axId val="1695044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5042271"/>
        <c:crosses val="autoZero"/>
        <c:crossBetween val="midCat"/>
      </c:valAx>
      <c:valAx>
        <c:axId val="169504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5044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'CJ-1'!$B$14:$B$18</c:f>
              <c:strCache>
                <c:ptCount val="5"/>
                <c:pt idx="0">
                  <c:v>1188.055837</c:v>
                </c:pt>
                <c:pt idx="1">
                  <c:v>2848.129209</c:v>
                </c:pt>
                <c:pt idx="2">
                  <c:v>3797.103154</c:v>
                </c:pt>
                <c:pt idx="3">
                  <c:v>5524.526536</c:v>
                </c:pt>
                <c:pt idx="4">
                  <c:v>7604.558259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'CJ-1'!$A$14:$A$18</c:f>
              <c:numCache>
                <c:formatCode>General</c:formatCode>
                <c:ptCount val="5"/>
                <c:pt idx="0">
                  <c:v>300</c:v>
                </c:pt>
                <c:pt idx="1">
                  <c:v>600</c:v>
                </c:pt>
                <c:pt idx="2">
                  <c:v>700</c:v>
                </c:pt>
                <c:pt idx="3">
                  <c:v>850</c:v>
                </c:pt>
                <c:pt idx="4">
                  <c:v>1000</c:v>
                </c:pt>
              </c:numCache>
            </c:numRef>
          </c:xVal>
          <c:yVal>
            <c:numRef>
              <c:f>'CJ-1'!$B$14:$B$18</c:f>
              <c:numCache>
                <c:formatCode>General</c:formatCode>
                <c:ptCount val="5"/>
                <c:pt idx="0">
                  <c:v>1188.0558367236806</c:v>
                </c:pt>
                <c:pt idx="1">
                  <c:v>2848.1292091809205</c:v>
                </c:pt>
                <c:pt idx="2">
                  <c:v>3797.1031536839414</c:v>
                </c:pt>
                <c:pt idx="3">
                  <c:v>5524.5265358894549</c:v>
                </c:pt>
                <c:pt idx="4">
                  <c:v>7604.5582593051313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5C9-4DB9-BA2B-2C3CB51BA84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'CJ-1'!$N$14:$N$15</c:f>
              <c:numCache>
                <c:formatCode>General</c:formatCode>
                <c:ptCount val="2"/>
                <c:pt idx="0">
                  <c:v>0</c:v>
                </c:pt>
                <c:pt idx="1">
                  <c:v>1000</c:v>
                </c:pt>
              </c:numCache>
            </c:numRef>
          </c:xVal>
          <c:yVal>
            <c:numRef>
              <c:f>'CJ-1'!$O$14:$O$15</c:f>
              <c:numCache>
                <c:formatCode>General</c:formatCode>
                <c:ptCount val="2"/>
                <c:pt idx="0">
                  <c:v>7300</c:v>
                </c:pt>
                <c:pt idx="1">
                  <c:v>7300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5C9-4DB9-BA2B-2C3CB51BA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8591"/>
        <c:axId val="8160351"/>
      </c:scatterChart>
      <c:valAx>
        <c:axId val="817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60351"/>
        <c:crosses val="autoZero"/>
        <c:crossBetween val="midCat"/>
      </c:valAx>
      <c:valAx>
        <c:axId val="816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7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32657</xdr:colOff>
      <xdr:row>21</xdr:row>
      <xdr:rowOff>122464</xdr:rowOff>
    </xdr:from>
    <xdr:to>
      <xdr:col>6</xdr:col>
      <xdr:colOff>413657</xdr:colOff>
      <xdr:row>35</xdr:row>
      <xdr:rowOff>65314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9D6CA4-3788-58F3-55D2-16A7CFE8B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8</xdr:row>
      <xdr:rowOff>9525</xdr:rowOff>
    </xdr:from>
    <xdr:to>
      <xdr:col>6</xdr:col>
      <xdr:colOff>409575</xdr:colOff>
      <xdr:row>21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FEC9224-BAF0-8158-E91D-520986885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91927</xdr:colOff>
      <xdr:row>35</xdr:row>
      <xdr:rowOff>182695</xdr:rowOff>
    </xdr:from>
    <xdr:to>
      <xdr:col>6</xdr:col>
      <xdr:colOff>461722</xdr:colOff>
      <xdr:row>49</xdr:row>
      <xdr:rowOff>108581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05837F7-F595-2FAB-87CC-16FB8D976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18</xdr:row>
      <xdr:rowOff>152400</xdr:rowOff>
    </xdr:from>
    <xdr:to>
      <xdr:col>5</xdr:col>
      <xdr:colOff>828675</xdr:colOff>
      <xdr:row>32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3ECE0F9-89F9-2186-92C8-04F7545A9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24"/>
  <sheetViews>
    <sheetView tabSelected="1" topLeftCell="B2" zoomScale="85" zoomScaleNormal="85" workbookViewId="0">
      <selection activeCell="L11" sqref="L11"/>
    </sheetView>
  </sheetViews>
  <sheetFormatPr baseColWidth="10" defaultColWidth="12.5703125" defaultRowHeight="15.75" customHeight="1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39</v>
      </c>
      <c r="N1" s="1" t="s">
        <v>43</v>
      </c>
      <c r="O1" s="1" t="s">
        <v>44</v>
      </c>
      <c r="P1" s="1" t="s">
        <v>45</v>
      </c>
    </row>
    <row r="2" spans="1:18" x14ac:dyDescent="0.2">
      <c r="A2" s="1">
        <v>100</v>
      </c>
      <c r="B2" s="1">
        <f t="shared" ref="B2:B7" si="0">E2/(C2*F2)</f>
        <v>1.426505930879743</v>
      </c>
      <c r="C2" s="1">
        <f t="shared" ref="C2:C7" si="1">0.5*A2^2*D2</f>
        <v>11.885000000000002</v>
      </c>
      <c r="D2" s="1">
        <v>2.3770000000000002E-3</v>
      </c>
      <c r="E2" s="1">
        <v>2950</v>
      </c>
      <c r="F2" s="1">
        <v>174</v>
      </c>
      <c r="G2" s="1">
        <v>2.5000000000000001E-2</v>
      </c>
      <c r="H2" s="1">
        <f t="shared" ref="H2:H7" si="2">G2+B2^2/(PI()*I2*K2)</f>
        <v>0.13492348748589778</v>
      </c>
      <c r="I2" s="1">
        <v>0.8</v>
      </c>
      <c r="J2" s="1">
        <f t="shared" ref="J2:J7" si="3">35.8^2</f>
        <v>1281.6399999999999</v>
      </c>
      <c r="K2" s="1">
        <f t="shared" ref="K2:K7" si="4">J2/F2</f>
        <v>7.3657471264367809</v>
      </c>
      <c r="L2" s="1">
        <f t="shared" ref="L2:L7" si="5">E2/(B2/H2)</f>
        <v>279.02042288596175</v>
      </c>
      <c r="M2">
        <f>L2*A2/500</f>
        <v>55.804084577192349</v>
      </c>
      <c r="N2">
        <f>SQRT(B2)/H2</f>
        <v>8.8521595413967464</v>
      </c>
      <c r="O2">
        <f>B2^(3/2)/H2</f>
        <v>12.627658086896165</v>
      </c>
      <c r="P2" cm="1">
        <f t="array" ref="P2:P7">B2:B7/H2:H7</f>
        <v>10.572702777408134</v>
      </c>
    </row>
    <row r="3" spans="1:18" x14ac:dyDescent="0.2">
      <c r="A3" s="1">
        <v>150</v>
      </c>
      <c r="B3" s="1">
        <f t="shared" si="0"/>
        <v>0.63400263594655248</v>
      </c>
      <c r="C3" s="1">
        <f t="shared" si="1"/>
        <v>26.741250000000001</v>
      </c>
      <c r="D3" s="1">
        <v>2.3770000000000002E-3</v>
      </c>
      <c r="E3" s="1">
        <v>2950</v>
      </c>
      <c r="F3" s="1">
        <v>174</v>
      </c>
      <c r="G3" s="1">
        <v>2.5000000000000001E-2</v>
      </c>
      <c r="H3" s="1">
        <f t="shared" si="2"/>
        <v>4.6713281478695856E-2</v>
      </c>
      <c r="I3" s="1">
        <v>0.8</v>
      </c>
      <c r="J3" s="1">
        <f t="shared" si="3"/>
        <v>1281.6399999999999</v>
      </c>
      <c r="K3" s="1">
        <f t="shared" si="4"/>
        <v>7.3657471264367809</v>
      </c>
      <c r="L3" s="1">
        <f t="shared" si="5"/>
        <v>217.35584767153856</v>
      </c>
      <c r="M3">
        <f t="shared" ref="M3:M7" si="6">L3*A3/500</f>
        <v>65.206754301461572</v>
      </c>
      <c r="N3">
        <f t="shared" ref="N3:N7" si="7">SQRT(B3)/H3</f>
        <v>17.045319864780048</v>
      </c>
      <c r="O3">
        <f t="shared" ref="O3:O7" si="8">B3^(3/2)/H3</f>
        <v>10.806777724822684</v>
      </c>
      <c r="P3">
        <v>13.572213637693102</v>
      </c>
    </row>
    <row r="4" spans="1:18" x14ac:dyDescent="0.2">
      <c r="A4" s="1">
        <v>200</v>
      </c>
      <c r="B4" s="1">
        <f t="shared" si="0"/>
        <v>0.35662648271993574</v>
      </c>
      <c r="C4" s="1">
        <f t="shared" si="1"/>
        <v>47.540000000000006</v>
      </c>
      <c r="D4" s="1">
        <v>2.3770000000000002E-3</v>
      </c>
      <c r="E4" s="1">
        <v>2950</v>
      </c>
      <c r="F4" s="1">
        <v>174</v>
      </c>
      <c r="G4" s="1">
        <v>2.5000000000000001E-2</v>
      </c>
      <c r="H4" s="1">
        <f t="shared" si="2"/>
        <v>3.1870217967868611E-2</v>
      </c>
      <c r="I4" s="1">
        <v>0.8</v>
      </c>
      <c r="J4" s="1">
        <f t="shared" si="3"/>
        <v>1281.6399999999999</v>
      </c>
      <c r="K4" s="1">
        <f t="shared" si="4"/>
        <v>7.3657471264367809</v>
      </c>
      <c r="L4" s="1">
        <f t="shared" si="5"/>
        <v>263.62916822149043</v>
      </c>
      <c r="M4">
        <f t="shared" si="6"/>
        <v>105.45166728859617</v>
      </c>
      <c r="N4">
        <f t="shared" si="7"/>
        <v>18.737936438197039</v>
      </c>
      <c r="O4">
        <f t="shared" si="8"/>
        <v>6.6824443653839323</v>
      </c>
      <c r="P4">
        <v>11.189960579481594</v>
      </c>
    </row>
    <row r="5" spans="1:18" x14ac:dyDescent="0.2">
      <c r="A5" s="1">
        <v>250</v>
      </c>
      <c r="B5" s="1">
        <f t="shared" si="0"/>
        <v>0.22824094894075891</v>
      </c>
      <c r="C5" s="1">
        <f t="shared" si="1"/>
        <v>74.28125</v>
      </c>
      <c r="D5" s="1">
        <v>2.3770000000000002E-3</v>
      </c>
      <c r="E5" s="1">
        <v>2950</v>
      </c>
      <c r="F5" s="1">
        <v>174</v>
      </c>
      <c r="G5" s="1">
        <v>2.5000000000000001E-2</v>
      </c>
      <c r="H5" s="1">
        <f t="shared" si="2"/>
        <v>2.7814041279638983E-2</v>
      </c>
      <c r="I5" s="1">
        <v>0.8</v>
      </c>
      <c r="J5" s="1">
        <f t="shared" si="3"/>
        <v>1281.6399999999999</v>
      </c>
      <c r="K5" s="1">
        <f t="shared" si="4"/>
        <v>7.3657471264367809</v>
      </c>
      <c r="L5" s="1">
        <f t="shared" si="5"/>
        <v>359.49474516175383</v>
      </c>
      <c r="M5">
        <f t="shared" si="6"/>
        <v>179.74737258087691</v>
      </c>
      <c r="N5">
        <f t="shared" si="7"/>
        <v>17.176421435473141</v>
      </c>
      <c r="O5">
        <f t="shared" si="8"/>
        <v>3.920362727838782</v>
      </c>
      <c r="P5">
        <v>8.2059613936016067</v>
      </c>
    </row>
    <row r="6" spans="1:18" x14ac:dyDescent="0.2">
      <c r="A6" s="1">
        <v>300</v>
      </c>
      <c r="B6" s="1">
        <f t="shared" si="0"/>
        <v>0.15850065898663812</v>
      </c>
      <c r="C6" s="1">
        <f t="shared" si="1"/>
        <v>106.965</v>
      </c>
      <c r="D6" s="1">
        <v>2.3770000000000002E-3</v>
      </c>
      <c r="E6" s="1">
        <v>2950</v>
      </c>
      <c r="F6" s="1">
        <v>174</v>
      </c>
      <c r="G6" s="1">
        <v>2.5000000000000001E-2</v>
      </c>
      <c r="H6" s="1">
        <f t="shared" si="2"/>
        <v>2.6357080092418491E-2</v>
      </c>
      <c r="I6" s="1">
        <v>0.8</v>
      </c>
      <c r="J6" s="1">
        <f t="shared" si="3"/>
        <v>1281.6399999999999</v>
      </c>
      <c r="K6" s="1">
        <f t="shared" si="4"/>
        <v>7.3657471264367809</v>
      </c>
      <c r="L6" s="1">
        <f t="shared" si="5"/>
        <v>490.55560254288469</v>
      </c>
      <c r="M6">
        <f t="shared" si="6"/>
        <v>294.33336152573082</v>
      </c>
      <c r="N6">
        <f t="shared" si="7"/>
        <v>15.104913403645808</v>
      </c>
      <c r="O6">
        <f t="shared" si="8"/>
        <v>2.3941387284139632</v>
      </c>
      <c r="P6">
        <v>6.0135894579699745</v>
      </c>
    </row>
    <row r="7" spans="1:18" x14ac:dyDescent="0.2">
      <c r="A7" s="1">
        <v>350</v>
      </c>
      <c r="B7" s="1">
        <f t="shared" si="0"/>
        <v>0.11644946374528516</v>
      </c>
      <c r="C7" s="1">
        <f t="shared" si="1"/>
        <v>145.59125</v>
      </c>
      <c r="D7" s="1">
        <v>2.3770000000000002E-3</v>
      </c>
      <c r="E7" s="1">
        <v>2950</v>
      </c>
      <c r="F7" s="1">
        <v>174</v>
      </c>
      <c r="G7" s="1">
        <v>2.5000000000000001E-2</v>
      </c>
      <c r="H7" s="1">
        <f t="shared" si="2"/>
        <v>2.5732518034058464E-2</v>
      </c>
      <c r="I7" s="1">
        <v>0.8</v>
      </c>
      <c r="J7" s="1">
        <f t="shared" si="3"/>
        <v>1281.6399999999999</v>
      </c>
      <c r="K7" s="1">
        <f t="shared" si="4"/>
        <v>7.3657471264367809</v>
      </c>
      <c r="L7" s="1">
        <f t="shared" si="5"/>
        <v>651.87872712334388</v>
      </c>
      <c r="M7">
        <f t="shared" si="6"/>
        <v>456.3151089863407</v>
      </c>
      <c r="N7">
        <f t="shared" si="7"/>
        <v>13.261311016512314</v>
      </c>
      <c r="O7">
        <f t="shared" si="8"/>
        <v>1.5442725564323021</v>
      </c>
      <c r="P7">
        <v>4.5253816043636927</v>
      </c>
    </row>
    <row r="10" spans="1:18" ht="15.75" customHeight="1" x14ac:dyDescent="0.2">
      <c r="I10" s="2" t="s">
        <v>40</v>
      </c>
      <c r="J10">
        <f>SQRT(G2*PI()*I2*K2)*0.5/G2</f>
        <v>13.605933135397636</v>
      </c>
    </row>
    <row r="11" spans="1:18" ht="15.75" customHeight="1" x14ac:dyDescent="0.2">
      <c r="I11" s="2" t="s">
        <v>41</v>
      </c>
      <c r="J11">
        <f>(1/3*G2*PI()*I2*K2)^(1/4)/(4/3*G3)</f>
        <v>18.801396547155864</v>
      </c>
    </row>
    <row r="12" spans="1:18" ht="15.75" customHeight="1" x14ac:dyDescent="0.2">
      <c r="I12" s="2" t="s">
        <v>42</v>
      </c>
      <c r="J12">
        <f>(3*G3*PI()*I3*K3)^(3/4)/(4*G4)</f>
        <v>12.790527213634935</v>
      </c>
    </row>
    <row r="15" spans="1:18" x14ac:dyDescent="0.2">
      <c r="P15" s="1" t="s">
        <v>12</v>
      </c>
      <c r="Q15" s="1">
        <v>35.799999999999997</v>
      </c>
      <c r="R15" s="1" t="s">
        <v>13</v>
      </c>
    </row>
    <row r="16" spans="1:18" x14ac:dyDescent="0.2">
      <c r="R16" s="1" t="s">
        <v>14</v>
      </c>
    </row>
    <row r="17" spans="16:18" x14ac:dyDescent="0.2">
      <c r="R17" s="1" t="s">
        <v>15</v>
      </c>
    </row>
    <row r="18" spans="16:18" x14ac:dyDescent="0.2">
      <c r="P18" s="1" t="s">
        <v>16</v>
      </c>
      <c r="Q18" s="1" t="s">
        <v>17</v>
      </c>
    </row>
    <row r="19" spans="16:18" x14ac:dyDescent="0.2">
      <c r="P19" s="1" t="s">
        <v>18</v>
      </c>
      <c r="Q19" s="1">
        <v>230</v>
      </c>
      <c r="R19" s="1" t="s">
        <v>19</v>
      </c>
    </row>
    <row r="20" spans="16:18" x14ac:dyDescent="0.2">
      <c r="P20" s="1" t="s">
        <v>20</v>
      </c>
      <c r="Q20" s="1">
        <v>0.45</v>
      </c>
      <c r="R20" s="1" t="s">
        <v>21</v>
      </c>
    </row>
    <row r="21" spans="16:18" x14ac:dyDescent="0.2">
      <c r="P21" s="1" t="s">
        <v>22</v>
      </c>
    </row>
    <row r="22" spans="16:18" x14ac:dyDescent="0.2">
      <c r="P22" s="1" t="s">
        <v>8</v>
      </c>
      <c r="Q22" s="1">
        <v>0.8</v>
      </c>
    </row>
    <row r="23" spans="16:18" x14ac:dyDescent="0.2">
      <c r="P23" s="1" t="s">
        <v>23</v>
      </c>
      <c r="Q23" s="1">
        <v>0.8</v>
      </c>
    </row>
    <row r="24" spans="16:18" x14ac:dyDescent="0.2">
      <c r="P24" s="1" t="s">
        <v>3</v>
      </c>
      <c r="Q24" s="1">
        <v>2.3749999999999999E-3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25"/>
  <sheetViews>
    <sheetView topLeftCell="A16" zoomScaleNormal="100" workbookViewId="0">
      <selection activeCell="B5" sqref="B5"/>
    </sheetView>
  </sheetViews>
  <sheetFormatPr baseColWidth="10" defaultColWidth="12.5703125" defaultRowHeight="15.75" customHeight="1" x14ac:dyDescent="0.2"/>
  <cols>
    <col min="8" max="8" width="7" bestFit="1" customWidth="1"/>
  </cols>
  <sheetData>
    <row r="1" spans="1:15" x14ac:dyDescent="0.2">
      <c r="A1" s="1" t="s">
        <v>12</v>
      </c>
      <c r="B1" s="1">
        <v>53.3</v>
      </c>
      <c r="C1" s="1" t="s">
        <v>13</v>
      </c>
    </row>
    <row r="2" spans="1:15" x14ac:dyDescent="0.2">
      <c r="A2" s="1" t="s">
        <v>5</v>
      </c>
      <c r="B2" s="1">
        <v>318</v>
      </c>
      <c r="C2" s="1" t="s">
        <v>14</v>
      </c>
    </row>
    <row r="3" spans="1:15" x14ac:dyDescent="0.2">
      <c r="A3" s="1" t="s">
        <v>4</v>
      </c>
      <c r="B3" s="1">
        <v>19815</v>
      </c>
      <c r="C3" s="1" t="s">
        <v>15</v>
      </c>
    </row>
    <row r="4" spans="1:15" x14ac:dyDescent="0.2">
      <c r="A4" s="1" t="s">
        <v>16</v>
      </c>
      <c r="B4" s="1" t="s">
        <v>24</v>
      </c>
    </row>
    <row r="5" spans="1:15" x14ac:dyDescent="0.2">
      <c r="A5" s="1" t="s">
        <v>18</v>
      </c>
      <c r="B5" s="1">
        <v>3650</v>
      </c>
      <c r="C5" s="1" t="s">
        <v>25</v>
      </c>
      <c r="D5" s="1" t="s">
        <v>26</v>
      </c>
      <c r="G5" s="2" t="s">
        <v>30</v>
      </c>
      <c r="I5" s="2" t="s">
        <v>31</v>
      </c>
    </row>
    <row r="6" spans="1:15" x14ac:dyDescent="0.2">
      <c r="A6" s="1" t="s">
        <v>20</v>
      </c>
      <c r="B6" s="1">
        <v>0.6</v>
      </c>
      <c r="C6" s="1" t="s">
        <v>27</v>
      </c>
    </row>
    <row r="7" spans="1:15" x14ac:dyDescent="0.2">
      <c r="A7" s="1" t="s">
        <v>22</v>
      </c>
      <c r="B7" s="1">
        <v>0.02</v>
      </c>
    </row>
    <row r="8" spans="1:15" x14ac:dyDescent="0.2">
      <c r="A8" s="1" t="s">
        <v>8</v>
      </c>
      <c r="B8" s="1">
        <v>0.81</v>
      </c>
    </row>
    <row r="9" spans="1:15" x14ac:dyDescent="0.2">
      <c r="A9" s="1" t="s">
        <v>23</v>
      </c>
      <c r="B9" s="1">
        <v>0.8</v>
      </c>
    </row>
    <row r="12" spans="1:15" x14ac:dyDescent="0.2">
      <c r="A12" s="1" t="s">
        <v>28</v>
      </c>
      <c r="B12" s="1" t="s">
        <v>11</v>
      </c>
      <c r="C12" s="1" t="s">
        <v>1</v>
      </c>
      <c r="D12" s="1" t="s">
        <v>29</v>
      </c>
      <c r="E12" s="1" t="s">
        <v>4</v>
      </c>
      <c r="F12" s="1" t="s">
        <v>5</v>
      </c>
      <c r="G12" s="1" t="s">
        <v>9</v>
      </c>
      <c r="H12" s="1" t="s">
        <v>6</v>
      </c>
      <c r="I12" s="1" t="s">
        <v>8</v>
      </c>
      <c r="J12" s="1" t="s">
        <v>10</v>
      </c>
      <c r="K12" s="1" t="s">
        <v>3</v>
      </c>
      <c r="L12" s="1" t="s">
        <v>2</v>
      </c>
      <c r="N12" s="1" t="s">
        <v>32</v>
      </c>
    </row>
    <row r="13" spans="1:15" x14ac:dyDescent="0.2">
      <c r="A13">
        <v>0</v>
      </c>
      <c r="N13" s="2" t="s">
        <v>34</v>
      </c>
      <c r="O13" s="2" t="s">
        <v>33</v>
      </c>
    </row>
    <row r="14" spans="1:15" x14ac:dyDescent="0.2">
      <c r="A14" s="1">
        <v>300</v>
      </c>
      <c r="B14" s="1">
        <f t="shared" ref="B13:B18" si="0">E14/(C14/D14)</f>
        <v>1188.0558367236806</v>
      </c>
      <c r="C14" s="1">
        <f t="shared" ref="C13:C18" si="1">E14/(L14*F14)</f>
        <v>0.58253934235232996</v>
      </c>
      <c r="D14" s="1">
        <f t="shared" ref="D14:D18" si="2">H14+C14^2/(PI()*I14*J14)</f>
        <v>3.4927543063480192E-2</v>
      </c>
      <c r="E14" s="1">
        <v>19815</v>
      </c>
      <c r="F14" s="1">
        <v>318</v>
      </c>
      <c r="G14" s="1">
        <f t="shared" ref="G14:G18" si="3">53.3^2</f>
        <v>2840.89</v>
      </c>
      <c r="H14" s="1">
        <v>0.02</v>
      </c>
      <c r="I14" s="1">
        <v>0.81</v>
      </c>
      <c r="J14" s="1">
        <f t="shared" ref="J14:J18" si="4">G14/F14</f>
        <v>8.9336163522012573</v>
      </c>
      <c r="K14" s="1">
        <v>2.3770000000000002E-3</v>
      </c>
      <c r="L14" s="1">
        <f t="shared" ref="L14:L18" si="5">0.5*K14*A14^2</f>
        <v>106.965</v>
      </c>
      <c r="N14">
        <v>0</v>
      </c>
      <c r="O14">
        <f>B5*2</f>
        <v>7300</v>
      </c>
    </row>
    <row r="15" spans="1:15" x14ac:dyDescent="0.2">
      <c r="A15" s="1">
        <v>600</v>
      </c>
      <c r="B15" s="1">
        <f t="shared" si="0"/>
        <v>2848.1292091809205</v>
      </c>
      <c r="C15" s="1">
        <f t="shared" si="1"/>
        <v>0.14563483558808249</v>
      </c>
      <c r="D15" s="1">
        <f t="shared" si="2"/>
        <v>2.0932971441467513E-2</v>
      </c>
      <c r="E15" s="1">
        <v>19815</v>
      </c>
      <c r="F15" s="1">
        <v>318</v>
      </c>
      <c r="G15" s="1">
        <f t="shared" si="3"/>
        <v>2840.89</v>
      </c>
      <c r="H15" s="1">
        <v>0.02</v>
      </c>
      <c r="I15" s="1">
        <v>0.81</v>
      </c>
      <c r="J15" s="1">
        <f t="shared" si="4"/>
        <v>8.9336163522012573</v>
      </c>
      <c r="K15" s="1">
        <v>2.3770000000000002E-3</v>
      </c>
      <c r="L15" s="1">
        <f t="shared" si="5"/>
        <v>427.86</v>
      </c>
      <c r="N15">
        <v>1000</v>
      </c>
      <c r="O15">
        <f>B5*2</f>
        <v>7300</v>
      </c>
    </row>
    <row r="16" spans="1:15" x14ac:dyDescent="0.2">
      <c r="A16" s="1">
        <v>700</v>
      </c>
      <c r="B16" s="1">
        <f t="shared" si="0"/>
        <v>3797.1031536839414</v>
      </c>
      <c r="C16" s="1">
        <f t="shared" si="1"/>
        <v>0.10699702206471368</v>
      </c>
      <c r="D16" s="1">
        <f t="shared" si="2"/>
        <v>2.0503594747247771E-2</v>
      </c>
      <c r="E16" s="1">
        <v>19815</v>
      </c>
      <c r="F16" s="1">
        <v>318</v>
      </c>
      <c r="G16" s="1">
        <f t="shared" si="3"/>
        <v>2840.89</v>
      </c>
      <c r="H16" s="1">
        <v>0.02</v>
      </c>
      <c r="I16" s="1">
        <v>0.81</v>
      </c>
      <c r="J16" s="1">
        <f t="shared" si="4"/>
        <v>8.9336163522012573</v>
      </c>
      <c r="K16" s="1">
        <v>2.3770000000000002E-3</v>
      </c>
      <c r="L16" s="1">
        <f t="shared" si="5"/>
        <v>582.36500000000001</v>
      </c>
    </row>
    <row r="17" spans="1:14" x14ac:dyDescent="0.2">
      <c r="A17" s="1">
        <v>850</v>
      </c>
      <c r="B17" s="1">
        <f t="shared" si="0"/>
        <v>5524.5265358894549</v>
      </c>
      <c r="C17" s="1">
        <f t="shared" si="1"/>
        <v>7.2565454410670874E-2</v>
      </c>
      <c r="D17" s="1">
        <f t="shared" si="2"/>
        <v>2.0231631515550224E-2</v>
      </c>
      <c r="E17" s="1">
        <v>19815</v>
      </c>
      <c r="F17" s="1">
        <v>318</v>
      </c>
      <c r="G17" s="1">
        <f t="shared" si="3"/>
        <v>2840.89</v>
      </c>
      <c r="H17" s="1">
        <v>0.02</v>
      </c>
      <c r="I17" s="1">
        <v>0.81</v>
      </c>
      <c r="J17" s="1">
        <f t="shared" si="4"/>
        <v>8.9336163522012573</v>
      </c>
      <c r="K17" s="1">
        <v>2.3770000000000002E-3</v>
      </c>
      <c r="L17" s="1">
        <f t="shared" si="5"/>
        <v>858.69125000000008</v>
      </c>
    </row>
    <row r="18" spans="1:14" ht="15.75" customHeight="1" x14ac:dyDescent="0.2">
      <c r="A18" s="1">
        <v>1000</v>
      </c>
      <c r="B18" s="1">
        <f t="shared" si="0"/>
        <v>7604.5582593051313</v>
      </c>
      <c r="C18" s="1">
        <f t="shared" si="1"/>
        <v>5.2428540811709702E-2</v>
      </c>
      <c r="D18" s="1">
        <f t="shared" si="2"/>
        <v>2.012091309881419E-2</v>
      </c>
      <c r="E18" s="1">
        <v>19815</v>
      </c>
      <c r="F18" s="1">
        <v>318</v>
      </c>
      <c r="G18" s="1">
        <f t="shared" si="3"/>
        <v>2840.89</v>
      </c>
      <c r="H18" s="1">
        <v>0.02</v>
      </c>
      <c r="I18" s="1">
        <v>0.81</v>
      </c>
      <c r="J18" s="1">
        <f t="shared" si="4"/>
        <v>8.9336163522012573</v>
      </c>
      <c r="K18" s="1">
        <v>2.3770000000000002E-3</v>
      </c>
      <c r="L18" s="1">
        <f t="shared" si="5"/>
        <v>1188.5</v>
      </c>
      <c r="N18">
        <f>O14*0.6</f>
        <v>4380</v>
      </c>
    </row>
    <row r="22" spans="1:14" ht="15.75" customHeight="1" x14ac:dyDescent="0.2">
      <c r="H22" s="2" t="s">
        <v>35</v>
      </c>
      <c r="I22" s="2">
        <f>E14/F14</f>
        <v>62.311320754716981</v>
      </c>
    </row>
    <row r="23" spans="1:14" ht="15.75" customHeight="1" x14ac:dyDescent="0.2">
      <c r="H23" s="2" t="s">
        <v>36</v>
      </c>
      <c r="I23">
        <f>O14/E14*0.6</f>
        <v>0.22104466313398941</v>
      </c>
    </row>
    <row r="24" spans="1:14" ht="15.75" customHeight="1" x14ac:dyDescent="0.2">
      <c r="G24" s="2" t="s">
        <v>37</v>
      </c>
      <c r="H24">
        <f>SQRT((I23*I22+I22*SQRT(I23^2-(4*H14/(PI()*I14*J14))))/(K14*H18))</f>
        <v>754.20429541584042</v>
      </c>
      <c r="I24">
        <f>H24*0.4</f>
        <v>301.68171816633617</v>
      </c>
    </row>
    <row r="25" spans="1:14" ht="15.75" customHeight="1" x14ac:dyDescent="0.2">
      <c r="G25" s="2" t="s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CP-1</vt:lpstr>
      <vt:lpstr>CJ-1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Pablo Lorduy Montoya</cp:lastModifiedBy>
  <dcterms:created xsi:type="dcterms:W3CDTF">2026-01-29T22:13:48Z</dcterms:created>
  <dcterms:modified xsi:type="dcterms:W3CDTF">2026-01-29T22:38:08Z</dcterms:modified>
</cp:coreProperties>
</file>